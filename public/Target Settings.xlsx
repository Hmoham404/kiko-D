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soussi\Downloads\"/>
    </mc:Choice>
  </mc:AlternateContent>
  <xr:revisionPtr revIDLastSave="0" documentId="13_ncr:1_{5B3B8220-D966-40D5-ABB5-46EA96ADF7C9}" xr6:coauthVersionLast="47" xr6:coauthVersionMax="47" xr10:uidLastSave="{00000000-0000-0000-0000-000000000000}"/>
  <bookViews>
    <workbookView xWindow="-108" yWindow="-108" windowWidth="23256" windowHeight="12456" xr2:uid="{836D9CD4-7EF1-41D3-9DBE-199FA28048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" i="1" l="1"/>
  <c r="O12" i="1"/>
  <c r="N12" i="1"/>
  <c r="M12" i="1"/>
  <c r="L12" i="1"/>
  <c r="K12" i="1"/>
  <c r="J12" i="1"/>
  <c r="I12" i="1"/>
  <c r="H12" i="1"/>
  <c r="G12" i="1"/>
  <c r="F12" i="1"/>
  <c r="E10" i="1"/>
  <c r="D10" i="1"/>
  <c r="C10" i="1"/>
  <c r="F10" i="1"/>
  <c r="G10" i="1"/>
  <c r="H10" i="1"/>
  <c r="I10" i="1"/>
  <c r="J10" i="1"/>
  <c r="K10" i="1"/>
  <c r="L10" i="1"/>
  <c r="M10" i="1"/>
  <c r="N10" i="1"/>
  <c r="O10" i="1"/>
  <c r="P10" i="1"/>
  <c r="Q10" i="1"/>
  <c r="B10" i="1"/>
  <c r="Q12" i="1" l="1"/>
  <c r="Q13" i="1" l="1"/>
  <c r="Q14" i="1"/>
  <c r="Q15" i="1" s="1"/>
</calcChain>
</file>

<file path=xl/sharedStrings.xml><?xml version="1.0" encoding="utf-8"?>
<sst xmlns="http://schemas.openxmlformats.org/spreadsheetml/2006/main" count="27" uniqueCount="26">
  <si>
    <t>Year</t>
  </si>
  <si>
    <t>Department</t>
  </si>
  <si>
    <t>Injection cover</t>
  </si>
  <si>
    <t>Injection Base</t>
  </si>
  <si>
    <t>Injection Insert</t>
  </si>
  <si>
    <t>Injection</t>
  </si>
  <si>
    <t>Soudure</t>
  </si>
  <si>
    <t>Metallisation</t>
  </si>
  <si>
    <t>Serigraphie</t>
  </si>
  <si>
    <t>Assemblage</t>
  </si>
  <si>
    <t>Packaging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</si>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</sst>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1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DF4E-30C7-4624-982C-D7B360E429B8}">
  <dimension ref="A4:Q15"/>
  <sheetViews>
    <sheetView tabSelected="1" topLeftCell="C1" zoomScale="120" zoomScaleNormal="120" workbookViewId="0">
      <selection activeCell="N19" sqref="N19"/>
    </sheetView>
  </sheetViews>
  <sheetFormatPr baseColWidth="10" defaultRowHeight="14.4" x14ac:dyDescent="0.3"/>
  <cols>
    <col min="1" max="1" width="15.77734375" customWidth="1"/>
    <col min="2" max="3" width="9.44140625" customWidth="1"/>
    <col min="4" max="4" width="12.109375" customWidth="1"/>
  </cols>
  <sheetData>
    <row r="4" spans="1:17" x14ac:dyDescent="0.3">
      <c r="A4" s="1" t="s">
        <v>0</v>
      </c>
      <c r="B4" s="1">
        <v>2026</v>
      </c>
      <c r="C4" s="3"/>
    </row>
    <row r="6" spans="1:17" x14ac:dyDescent="0.3">
      <c r="A6" s="1" t="s">
        <v>1</v>
      </c>
      <c r="B6" s="2" t="s">
        <v>25</v>
      </c>
      <c r="C6" s="2" t="s">
        <v>11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</row>
    <row r="7" spans="1:17" x14ac:dyDescent="0.3">
      <c r="A7" s="1" t="s">
        <v>2</v>
      </c>
      <c r="B7" s="4">
        <v>0</v>
      </c>
      <c r="C7" s="4">
        <v>25000</v>
      </c>
      <c r="D7" s="4">
        <v>84738.461538461517</v>
      </c>
      <c r="E7" s="4">
        <v>42369.230769230759</v>
      </c>
      <c r="F7" s="4">
        <v>42369</v>
      </c>
      <c r="G7" s="4">
        <v>84738.461538461517</v>
      </c>
      <c r="H7" s="4">
        <v>84738.461538461517</v>
      </c>
      <c r="I7" s="4">
        <v>84738.461538461517</v>
      </c>
      <c r="J7" s="4">
        <v>84738.461538461517</v>
      </c>
      <c r="K7" s="4">
        <v>84738.461538461517</v>
      </c>
      <c r="L7" s="4">
        <v>84214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">
      <c r="A8" s="1" t="s">
        <v>3</v>
      </c>
      <c r="B8" s="4">
        <v>0</v>
      </c>
      <c r="C8" s="4">
        <v>25000</v>
      </c>
      <c r="D8" s="4">
        <v>86968.421052631573</v>
      </c>
      <c r="E8" s="4">
        <v>43484.210526315786</v>
      </c>
      <c r="F8" s="4">
        <v>86968.421052631573</v>
      </c>
      <c r="G8" s="4">
        <v>86968.421052631573</v>
      </c>
      <c r="H8" s="4">
        <v>86968.421052631573</v>
      </c>
      <c r="I8" s="4">
        <v>86968.421052631573</v>
      </c>
      <c r="J8" s="4">
        <v>86968.421052631573</v>
      </c>
      <c r="K8" s="4">
        <v>86968.421052631573</v>
      </c>
      <c r="L8" s="4">
        <v>86968.421052631573</v>
      </c>
      <c r="M8" s="4">
        <v>25876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A9" s="1" t="s">
        <v>4</v>
      </c>
      <c r="B9" s="4">
        <v>0</v>
      </c>
      <c r="C9" s="4">
        <v>25000</v>
      </c>
      <c r="D9" s="4">
        <v>110160</v>
      </c>
      <c r="E9" s="4">
        <v>55080</v>
      </c>
      <c r="F9" s="4">
        <v>110160</v>
      </c>
      <c r="G9" s="4">
        <v>110160</v>
      </c>
      <c r="H9" s="4">
        <v>0</v>
      </c>
      <c r="I9" s="4">
        <v>25000</v>
      </c>
      <c r="J9" s="4">
        <v>110160</v>
      </c>
      <c r="K9" s="4">
        <v>55080</v>
      </c>
      <c r="L9" s="4">
        <v>110160</v>
      </c>
      <c r="M9" s="4">
        <v>79148</v>
      </c>
      <c r="N9" s="4">
        <v>0</v>
      </c>
      <c r="O9" s="4">
        <v>0</v>
      </c>
      <c r="P9" s="4">
        <v>0</v>
      </c>
      <c r="Q9" s="4">
        <v>0</v>
      </c>
    </row>
    <row r="10" spans="1:17" x14ac:dyDescent="0.3">
      <c r="A10" s="1" t="s">
        <v>5</v>
      </c>
      <c r="B10" s="4">
        <f>SUM(B7:B9)</f>
        <v>0</v>
      </c>
      <c r="C10" s="4">
        <f t="shared" ref="C10:Q15" si="0">SUM(C7:C9)</f>
        <v>75000</v>
      </c>
      <c r="D10" s="4">
        <f>SUM(D7:D9)</f>
        <v>281866.88259109308</v>
      </c>
      <c r="E10" s="4">
        <f>SUM(E7:E9)</f>
        <v>140933.44129554654</v>
      </c>
      <c r="F10" s="4">
        <f t="shared" si="0"/>
        <v>239497.42105263157</v>
      </c>
      <c r="G10" s="4">
        <f t="shared" si="0"/>
        <v>281866.88259109308</v>
      </c>
      <c r="H10" s="4">
        <f t="shared" si="0"/>
        <v>171706.88259109308</v>
      </c>
      <c r="I10" s="4">
        <f t="shared" si="0"/>
        <v>196706.88259109308</v>
      </c>
      <c r="J10" s="4">
        <f t="shared" si="0"/>
        <v>281866.88259109308</v>
      </c>
      <c r="K10" s="4">
        <f t="shared" si="0"/>
        <v>226786.88259109308</v>
      </c>
      <c r="L10" s="4">
        <f t="shared" si="0"/>
        <v>281342.42105263157</v>
      </c>
      <c r="M10" s="4">
        <f t="shared" si="0"/>
        <v>105024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</row>
    <row r="11" spans="1:17" x14ac:dyDescent="0.3">
      <c r="A11" s="1" t="s">
        <v>6</v>
      </c>
      <c r="B11" s="4">
        <v>0</v>
      </c>
      <c r="C11" s="4">
        <v>25000</v>
      </c>
      <c r="D11" s="4">
        <v>82620</v>
      </c>
      <c r="E11" s="4">
        <v>41310</v>
      </c>
      <c r="F11" s="4">
        <v>82620</v>
      </c>
      <c r="G11" s="4">
        <v>82620</v>
      </c>
      <c r="H11" s="4">
        <v>82620</v>
      </c>
      <c r="I11" s="4">
        <v>82620</v>
      </c>
      <c r="J11" s="4">
        <v>82620</v>
      </c>
      <c r="K11" s="4">
        <v>82620</v>
      </c>
      <c r="L11" s="4">
        <v>82620</v>
      </c>
      <c r="M11" s="4">
        <v>39825</v>
      </c>
      <c r="N11" s="4">
        <v>0</v>
      </c>
      <c r="O11" s="4">
        <v>0</v>
      </c>
      <c r="P11" s="4">
        <v>0</v>
      </c>
      <c r="Q11" s="4">
        <f t="shared" si="0"/>
        <v>0</v>
      </c>
    </row>
    <row r="12" spans="1:17" x14ac:dyDescent="0.3">
      <c r="A12" s="1" t="s">
        <v>7</v>
      </c>
      <c r="B12" s="4">
        <v>0</v>
      </c>
      <c r="C12" s="4">
        <v>40000</v>
      </c>
      <c r="D12" s="4">
        <v>100000</v>
      </c>
      <c r="E12" s="4">
        <v>80000</v>
      </c>
      <c r="F12" s="4">
        <f>75807*2</f>
        <v>151614</v>
      </c>
      <c r="G12" s="4">
        <f t="shared" ref="G12:N12" si="1">75807*2</f>
        <v>151614</v>
      </c>
      <c r="H12" s="4">
        <f t="shared" si="1"/>
        <v>151614</v>
      </c>
      <c r="I12" s="4">
        <f t="shared" si="1"/>
        <v>151614</v>
      </c>
      <c r="J12" s="4">
        <f t="shared" si="1"/>
        <v>151614</v>
      </c>
      <c r="K12" s="4">
        <f t="shared" si="1"/>
        <v>151614</v>
      </c>
      <c r="L12" s="4">
        <f t="shared" si="1"/>
        <v>151614</v>
      </c>
      <c r="M12" s="4">
        <f t="shared" si="1"/>
        <v>151614</v>
      </c>
      <c r="N12" s="4">
        <f t="shared" si="1"/>
        <v>151614</v>
      </c>
      <c r="O12" s="4">
        <f>6608+28300</f>
        <v>34908</v>
      </c>
      <c r="P12" s="4">
        <v>0</v>
      </c>
      <c r="Q12" s="4">
        <f t="shared" si="0"/>
        <v>0</v>
      </c>
    </row>
    <row r="13" spans="1:17" x14ac:dyDescent="0.3">
      <c r="A13" s="1" t="s">
        <v>8</v>
      </c>
      <c r="B13" s="4">
        <v>0</v>
      </c>
      <c r="C13" s="4">
        <v>0</v>
      </c>
      <c r="D13" s="4">
        <v>30000</v>
      </c>
      <c r="E13" s="4">
        <v>48000</v>
      </c>
      <c r="F13" s="4">
        <v>96000</v>
      </c>
      <c r="G13" s="4">
        <v>96000</v>
      </c>
      <c r="H13" s="4">
        <v>96000</v>
      </c>
      <c r="I13" s="4">
        <v>96000</v>
      </c>
      <c r="J13" s="4">
        <v>96000</v>
      </c>
      <c r="K13" s="4">
        <v>96000</v>
      </c>
      <c r="L13" s="4">
        <v>0</v>
      </c>
      <c r="M13" s="4">
        <v>0</v>
      </c>
      <c r="N13" s="4">
        <v>96000</v>
      </c>
      <c r="O13" s="4">
        <v>39585</v>
      </c>
      <c r="P13" s="4">
        <v>0</v>
      </c>
      <c r="Q13" s="4">
        <f t="shared" si="0"/>
        <v>0</v>
      </c>
    </row>
    <row r="14" spans="1:17" x14ac:dyDescent="0.3">
      <c r="A14" s="1" t="s">
        <v>9</v>
      </c>
      <c r="B14" s="4">
        <v>0</v>
      </c>
      <c r="C14" s="4">
        <v>0</v>
      </c>
      <c r="D14" s="4">
        <v>20000</v>
      </c>
      <c r="E14" s="4">
        <v>20000</v>
      </c>
      <c r="F14" s="4">
        <v>60000</v>
      </c>
      <c r="G14" s="4">
        <v>97200</v>
      </c>
      <c r="H14" s="4">
        <v>97200</v>
      </c>
      <c r="I14" s="4">
        <v>97200</v>
      </c>
      <c r="J14" s="4">
        <v>97200</v>
      </c>
      <c r="K14" s="4">
        <v>97200</v>
      </c>
      <c r="L14" s="4">
        <v>97200</v>
      </c>
      <c r="M14" s="4">
        <v>0</v>
      </c>
      <c r="N14" s="4">
        <v>0</v>
      </c>
      <c r="O14" s="4">
        <v>83500</v>
      </c>
      <c r="P14" s="4">
        <v>0</v>
      </c>
      <c r="Q14" s="4">
        <f t="shared" si="0"/>
        <v>0</v>
      </c>
    </row>
    <row r="15" spans="1:17" x14ac:dyDescent="0.3">
      <c r="A15" s="1" t="s">
        <v>10</v>
      </c>
      <c r="B15" s="4">
        <v>0</v>
      </c>
      <c r="C15" s="4">
        <v>0</v>
      </c>
      <c r="D15" s="4">
        <v>20000</v>
      </c>
      <c r="E15" s="4">
        <v>20000</v>
      </c>
      <c r="F15" s="4">
        <v>60000</v>
      </c>
      <c r="G15" s="4">
        <v>97200</v>
      </c>
      <c r="H15" s="4">
        <v>97200</v>
      </c>
      <c r="I15" s="4">
        <v>97200</v>
      </c>
      <c r="J15" s="4">
        <v>97200</v>
      </c>
      <c r="K15" s="4">
        <v>97200</v>
      </c>
      <c r="L15" s="4">
        <v>97200</v>
      </c>
      <c r="M15" s="4">
        <v>0</v>
      </c>
      <c r="N15" s="4">
        <v>0</v>
      </c>
      <c r="O15" s="4">
        <v>83500</v>
      </c>
      <c r="P15" s="4">
        <v>0</v>
      </c>
      <c r="Q15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MYC Beauty Innovation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 Soussi</dc:creator>
  <cp:lastModifiedBy>Faten Soussi</cp:lastModifiedBy>
  <dcterms:created xsi:type="dcterms:W3CDTF">2026-06-01T09:14:55Z</dcterms:created>
  <dcterms:modified xsi:type="dcterms:W3CDTF">2026-06-01T15:12:38Z</dcterms:modified>
</cp:coreProperties>
</file>